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捗トラッカー" sheetId="1" state="visible" r:id="rId1"/>
    <sheet name="テストケース" sheetId="2" state="visible" r:id="rId2"/>
  </sheets>
  <definedNames>
    <definedName name="_xlnm._FilterDatabase" localSheetId="0" hidden="1">'進捗トラッカー'!$A$4:$J$29</definedName>
    <definedName name="_xlnm._FilterDatabase" localSheetId="1" hidden="1">'テストケース'!$A$4:$I$29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E7E6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4" fillId="0" borderId="0" pivotButton="0" quotePrefix="0" xfId="1"/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486;&#12473;&#12488;&#12465;&#12540;&#12473;'!A5" TargetMode="External" Id="rId1" /><Relationship Type="http://schemas.openxmlformats.org/officeDocument/2006/relationships/hyperlink" Target="#'&#12486;&#12473;&#12488;&#12465;&#12540;&#12473;'!A6" TargetMode="External" Id="rId2" /><Relationship Type="http://schemas.openxmlformats.org/officeDocument/2006/relationships/hyperlink" Target="#'&#12486;&#12473;&#12488;&#12465;&#12540;&#12473;'!A7" TargetMode="External" Id="rId3" /><Relationship Type="http://schemas.openxmlformats.org/officeDocument/2006/relationships/hyperlink" Target="#'&#12486;&#12473;&#12488;&#12465;&#12540;&#12473;'!A8" TargetMode="External" Id="rId4" /><Relationship Type="http://schemas.openxmlformats.org/officeDocument/2006/relationships/hyperlink" Target="#'&#12486;&#12473;&#12488;&#12465;&#12540;&#12473;'!A9" TargetMode="External" Id="rId5" /><Relationship Type="http://schemas.openxmlformats.org/officeDocument/2006/relationships/hyperlink" Target="#'&#12486;&#12473;&#12488;&#12465;&#12540;&#12473;'!A10" TargetMode="External" Id="rId6" /><Relationship Type="http://schemas.openxmlformats.org/officeDocument/2006/relationships/hyperlink" Target="#'&#12486;&#12473;&#12488;&#12465;&#12540;&#12473;'!A11" TargetMode="External" Id="rId7" /><Relationship Type="http://schemas.openxmlformats.org/officeDocument/2006/relationships/hyperlink" Target="#'&#12486;&#12473;&#12488;&#12465;&#12540;&#12473;'!A12" TargetMode="External" Id="rId8" /><Relationship Type="http://schemas.openxmlformats.org/officeDocument/2006/relationships/hyperlink" Target="#'&#12486;&#12473;&#12488;&#12465;&#12540;&#12473;'!A13" TargetMode="External" Id="rId9" /><Relationship Type="http://schemas.openxmlformats.org/officeDocument/2006/relationships/hyperlink" Target="#'&#12486;&#12473;&#12488;&#12465;&#12540;&#12473;'!A14" TargetMode="External" Id="rId10" /><Relationship Type="http://schemas.openxmlformats.org/officeDocument/2006/relationships/hyperlink" Target="#'&#12486;&#12473;&#12488;&#12465;&#12540;&#12473;'!A15" TargetMode="External" Id="rId11" /><Relationship Type="http://schemas.openxmlformats.org/officeDocument/2006/relationships/hyperlink" Target="#'&#12486;&#12473;&#12488;&#12465;&#12540;&#12473;'!A16" TargetMode="External" Id="rId12" /><Relationship Type="http://schemas.openxmlformats.org/officeDocument/2006/relationships/hyperlink" Target="#'&#12486;&#12473;&#12488;&#12465;&#12540;&#12473;'!A17" TargetMode="External" Id="rId13" /><Relationship Type="http://schemas.openxmlformats.org/officeDocument/2006/relationships/hyperlink" Target="#'&#12486;&#12473;&#12488;&#12465;&#12540;&#12473;'!A18" TargetMode="External" Id="rId14" /><Relationship Type="http://schemas.openxmlformats.org/officeDocument/2006/relationships/hyperlink" Target="#'&#12486;&#12473;&#12488;&#12465;&#12540;&#12473;'!A19" TargetMode="External" Id="rId15" /><Relationship Type="http://schemas.openxmlformats.org/officeDocument/2006/relationships/hyperlink" Target="#'&#12486;&#12473;&#12488;&#12465;&#12540;&#12473;'!A20" TargetMode="External" Id="rId16" /><Relationship Type="http://schemas.openxmlformats.org/officeDocument/2006/relationships/hyperlink" Target="#'&#12486;&#12473;&#12488;&#12465;&#12540;&#12473;'!A21" TargetMode="External" Id="rId17" /><Relationship Type="http://schemas.openxmlformats.org/officeDocument/2006/relationships/hyperlink" Target="#'&#12486;&#12473;&#12488;&#12465;&#12540;&#12473;'!A22" TargetMode="External" Id="rId18" /><Relationship Type="http://schemas.openxmlformats.org/officeDocument/2006/relationships/hyperlink" Target="#'&#12486;&#12473;&#12488;&#12465;&#12540;&#12473;'!A23" TargetMode="External" Id="rId19" /><Relationship Type="http://schemas.openxmlformats.org/officeDocument/2006/relationships/hyperlink" Target="#'&#12486;&#12473;&#12488;&#12465;&#12540;&#12473;'!A24" TargetMode="External" Id="rId20" /><Relationship Type="http://schemas.openxmlformats.org/officeDocument/2006/relationships/hyperlink" Target="#'&#12486;&#12473;&#12488;&#12465;&#12540;&#12473;'!A25" TargetMode="External" Id="rId21" /><Relationship Type="http://schemas.openxmlformats.org/officeDocument/2006/relationships/hyperlink" Target="#'&#12486;&#12473;&#12488;&#12465;&#12540;&#12473;'!A26" TargetMode="External" Id="rId22" /><Relationship Type="http://schemas.openxmlformats.org/officeDocument/2006/relationships/hyperlink" Target="#'&#12486;&#12473;&#12488;&#12465;&#12540;&#12473;'!A27" TargetMode="External" Id="rId23" /><Relationship Type="http://schemas.openxmlformats.org/officeDocument/2006/relationships/hyperlink" Target="#'&#12486;&#12473;&#12488;&#12465;&#12540;&#12473;'!A28" TargetMode="External" Id="rId24" /><Relationship Type="http://schemas.openxmlformats.org/officeDocument/2006/relationships/hyperlink" Target="#'&#12486;&#12473;&#12488;&#12465;&#12540;&#12473;'!A29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30" customWidth="1" min="4" max="4"/>
    <col width="13" customWidth="1" min="5" max="5"/>
    <col width="18" customWidth="1" min="6" max="6"/>
    <col width="16" customWidth="1" min="7" max="7"/>
    <col width="48" customWidth="1" min="8" max="8"/>
    <col width="14" customWidth="1" min="9" max="9"/>
    <col width="14" customWidth="1" min="10" max="10"/>
  </cols>
  <sheetData>
    <row r="1" ht="28" customHeight="1">
      <c r="A1" s="1" t="inlineStr">
        <is>
          <t>TriviaMap production リリース受入れテスト 進捗トラッカー</t>
        </is>
      </c>
    </row>
    <row r="2" ht="34" customHeight="1">
      <c r="A2" s="2" t="inlineStr">
        <is>
          <t>E列のdropdownで状態を更新する。P0のFAIL/BLOCKEDはrelease停止。秘密情報は証跡へ記録しない。J列から詳細手順を開く。</t>
        </is>
      </c>
    </row>
    <row r="3">
      <c r="A3" s="3" t="inlineStr">
        <is>
          <t>Release Gate</t>
        </is>
      </c>
      <c r="B3" s="3">
        <f>IF(COUNTIFS(B5:B29,"P0",E5:E29,"&lt;&gt;PASS")=0,"P0 READY","P0 NOT READY")</f>
        <v/>
      </c>
      <c r="C3" s="4" t="inlineStr">
        <is>
          <t>PASS</t>
        </is>
      </c>
      <c r="D3" s="4">
        <f>COUNTIF(E5:E29,"PASS")</f>
        <v/>
      </c>
      <c r="E3" s="4" t="inlineStr">
        <is>
          <t>FAIL/BLOCKED</t>
        </is>
      </c>
      <c r="F3" s="4">
        <f>COUNTIF(E5:E29,"FAIL")+COUNTIF(E5:E29,"BLOCKED")</f>
        <v/>
      </c>
      <c r="G3" s="4" t="inlineStr">
        <is>
          <t>Remaining</t>
        </is>
      </c>
      <c r="H3" s="4">
        <f>COUNTIF(E5:E29,"未着手")+COUNTIF(E5:E29,"実施中")</f>
        <v/>
      </c>
      <c r="I3" s="4" t="n"/>
      <c r="J3" s="4" t="n"/>
    </row>
    <row r="4">
      <c r="A4" s="5" t="inlineStr">
        <is>
          <t>Test ID</t>
        </is>
      </c>
      <c r="B4" s="5" t="inlineStr">
        <is>
          <t>重要度</t>
        </is>
      </c>
      <c r="C4" s="5" t="inlineStr">
        <is>
          <t>フェーズ</t>
        </is>
      </c>
      <c r="D4" s="5" t="inlineStr">
        <is>
          <t>テスト名</t>
        </is>
      </c>
      <c r="E4" s="5" t="inlineStr">
        <is>
          <t>状態</t>
        </is>
      </c>
      <c r="F4" s="5" t="inlineStr">
        <is>
          <t>実施日時</t>
        </is>
      </c>
      <c r="G4" s="5" t="inlineStr">
        <is>
          <t>実施者</t>
        </is>
      </c>
      <c r="H4" s="5" t="inlineStr">
        <is>
          <t>証跡 / メモ</t>
        </is>
      </c>
      <c r="I4" s="5" t="inlineStr">
        <is>
          <t>再テスト</t>
        </is>
      </c>
      <c r="J4" s="5" t="inlineStr">
        <is>
          <t>手順</t>
        </is>
      </c>
    </row>
    <row r="5" ht="34" customHeight="1">
      <c r="A5" s="6" t="inlineStr">
        <is>
          <t>PROD-PRE-001</t>
        </is>
      </c>
      <c r="B5" s="7" t="inlineStr">
        <is>
          <t>P0</t>
        </is>
      </c>
      <c r="C5" s="6" t="inlineStr">
        <is>
          <t>リリース前</t>
        </is>
      </c>
      <c r="D5" s="6" t="inlineStr">
        <is>
          <t>承認・revision固定</t>
        </is>
      </c>
      <c r="E5" s="7" t="inlineStr">
        <is>
          <t>未着手</t>
        </is>
      </c>
      <c r="F5" s="6" t="n"/>
      <c r="G5" s="6" t="n"/>
      <c r="H5" s="6" t="n"/>
      <c r="I5" s="7" t="inlineStr">
        <is>
          <t>不要</t>
        </is>
      </c>
      <c r="J5" s="8" t="inlineStr">
        <is>
          <t>詳細を開く</t>
        </is>
      </c>
    </row>
    <row r="6" ht="34" customHeight="1">
      <c r="A6" s="9" t="inlineStr">
        <is>
          <t>PROD-PRE-002</t>
        </is>
      </c>
      <c r="B6" s="10" t="inlineStr">
        <is>
          <t>P0</t>
        </is>
      </c>
      <c r="C6" s="9" t="inlineStr">
        <is>
          <t>リリース前</t>
        </is>
      </c>
      <c r="D6" s="9" t="inlineStr">
        <is>
          <t>backup・rollback準備</t>
        </is>
      </c>
      <c r="E6" s="10" t="inlineStr">
        <is>
          <t>未着手</t>
        </is>
      </c>
      <c r="F6" s="9" t="n"/>
      <c r="G6" s="9" t="n"/>
      <c r="H6" s="9" t="n"/>
      <c r="I6" s="10" t="inlineStr">
        <is>
          <t>不要</t>
        </is>
      </c>
      <c r="J6" s="8" t="inlineStr">
        <is>
          <t>詳細を開く</t>
        </is>
      </c>
    </row>
    <row r="7" ht="34" customHeight="1">
      <c r="A7" s="6" t="inlineStr">
        <is>
          <t>PROD-PRE-003</t>
        </is>
      </c>
      <c r="B7" s="7" t="inlineStr">
        <is>
          <t>P0</t>
        </is>
      </c>
      <c r="C7" s="6" t="inlineStr">
        <is>
          <t>リリース前</t>
        </is>
      </c>
      <c r="D7" s="6" t="inlineStr">
        <is>
          <t>production設定・secret境界</t>
        </is>
      </c>
      <c r="E7" s="7" t="inlineStr">
        <is>
          <t>未着手</t>
        </is>
      </c>
      <c r="F7" s="6" t="n"/>
      <c r="G7" s="6" t="n"/>
      <c r="H7" s="6" t="n"/>
      <c r="I7" s="7" t="inlineStr">
        <is>
          <t>不要</t>
        </is>
      </c>
      <c r="J7" s="8" t="inlineStr">
        <is>
          <t>詳細を開く</t>
        </is>
      </c>
    </row>
    <row r="8" ht="34" customHeight="1">
      <c r="A8" s="9" t="inlineStr">
        <is>
          <t>PROD-PRE-004</t>
        </is>
      </c>
      <c r="B8" s="10" t="inlineStr">
        <is>
          <t>P0</t>
        </is>
      </c>
      <c r="C8" s="9" t="inlineStr">
        <is>
          <t>リリース前</t>
        </is>
      </c>
      <c r="D8" s="9" t="inlineStr">
        <is>
          <t>migration validation</t>
        </is>
      </c>
      <c r="E8" s="10" t="inlineStr">
        <is>
          <t>未着手</t>
        </is>
      </c>
      <c r="F8" s="9" t="n"/>
      <c r="G8" s="9" t="n"/>
      <c r="H8" s="9" t="n"/>
      <c r="I8" s="10" t="inlineStr">
        <is>
          <t>不要</t>
        </is>
      </c>
      <c r="J8" s="8" t="inlineStr">
        <is>
          <t>詳細を開く</t>
        </is>
      </c>
    </row>
    <row r="9" ht="34" customHeight="1">
      <c r="A9" s="6" t="inlineStr">
        <is>
          <t>PROD-CUTOVER-001</t>
        </is>
      </c>
      <c r="B9" s="7" t="inlineStr">
        <is>
          <t>P0</t>
        </is>
      </c>
      <c r="C9" s="6" t="inlineStr">
        <is>
          <t>切替直後</t>
        </is>
      </c>
      <c r="D9" s="6" t="inlineStr">
        <is>
          <t>DNS・TLS・Basic認証撤去</t>
        </is>
      </c>
      <c r="E9" s="7" t="inlineStr">
        <is>
          <t>未着手</t>
        </is>
      </c>
      <c r="F9" s="6" t="n"/>
      <c r="G9" s="6" t="n"/>
      <c r="H9" s="6" t="n"/>
      <c r="I9" s="7" t="inlineStr">
        <is>
          <t>不要</t>
        </is>
      </c>
      <c r="J9" s="8" t="inlineStr">
        <is>
          <t>詳細を開く</t>
        </is>
      </c>
    </row>
    <row r="10" ht="34" customHeight="1">
      <c r="A10" s="9" t="inlineStr">
        <is>
          <t>PROD-CUTOVER-002</t>
        </is>
      </c>
      <c r="B10" s="10" t="inlineStr">
        <is>
          <t>P0</t>
        </is>
      </c>
      <c r="C10" s="9" t="inlineStr">
        <is>
          <t>切替直後</t>
        </is>
      </c>
      <c r="D10" s="9" t="inlineStr">
        <is>
          <t>frontend・API・image同一origin</t>
        </is>
      </c>
      <c r="E10" s="10" t="inlineStr">
        <is>
          <t>未着手</t>
        </is>
      </c>
      <c r="F10" s="9" t="n"/>
      <c r="G10" s="9" t="n"/>
      <c r="H10" s="9" t="n"/>
      <c r="I10" s="10" t="inlineStr">
        <is>
          <t>不要</t>
        </is>
      </c>
      <c r="J10" s="8" t="inlineStr">
        <is>
          <t>詳細を開く</t>
        </is>
      </c>
    </row>
    <row r="11" ht="34" customHeight="1">
      <c r="A11" s="6" t="inlineStr">
        <is>
          <t>PROD-CUTOVER-003</t>
        </is>
      </c>
      <c r="B11" s="7" t="inlineStr">
        <is>
          <t>P1</t>
        </is>
      </c>
      <c r="C11" s="6" t="inlineStr">
        <is>
          <t>切替直後</t>
        </is>
      </c>
      <c r="D11" s="6" t="inlineStr">
        <is>
          <t>SPA・cache・invalidation</t>
        </is>
      </c>
      <c r="E11" s="7" t="inlineStr">
        <is>
          <t>未着手</t>
        </is>
      </c>
      <c r="F11" s="6" t="n"/>
      <c r="G11" s="6" t="n"/>
      <c r="H11" s="6" t="n"/>
      <c r="I11" s="7" t="inlineStr">
        <is>
          <t>不要</t>
        </is>
      </c>
      <c r="J11" s="8" t="inlineStr">
        <is>
          <t>詳細を開く</t>
        </is>
      </c>
    </row>
    <row r="12" ht="34" customHeight="1">
      <c r="A12" s="9" t="inlineStr">
        <is>
          <t>PROD-CUTOVER-004</t>
        </is>
      </c>
      <c r="B12" s="10" t="inlineStr">
        <is>
          <t>P0</t>
        </is>
      </c>
      <c r="C12" s="9" t="inlineStr">
        <is>
          <t>切替直後</t>
        </is>
      </c>
      <c r="D12" s="9" t="inlineStr">
        <is>
          <t>API Gateway直接アクセス拒否</t>
        </is>
      </c>
      <c r="E12" s="10" t="inlineStr">
        <is>
          <t>未着手</t>
        </is>
      </c>
      <c r="F12" s="9" t="n"/>
      <c r="G12" s="9" t="n"/>
      <c r="H12" s="9" t="n"/>
      <c r="I12" s="10" t="inlineStr">
        <is>
          <t>不要</t>
        </is>
      </c>
      <c r="J12" s="8" t="inlineStr">
        <is>
          <t>詳細を開く</t>
        </is>
      </c>
    </row>
    <row r="13" ht="34" customHeight="1">
      <c r="A13" s="6" t="inlineStr">
        <is>
          <t>PROD-DATA-001</t>
        </is>
      </c>
      <c r="B13" s="7" t="inlineStr">
        <is>
          <t>P0</t>
        </is>
      </c>
      <c r="C13" s="6" t="inlineStr">
        <is>
          <t>データ</t>
        </is>
      </c>
      <c r="D13" s="6" t="inlineStr">
        <is>
          <t>件数・legacy ID・relation</t>
        </is>
      </c>
      <c r="E13" s="7" t="inlineStr">
        <is>
          <t>未着手</t>
        </is>
      </c>
      <c r="F13" s="6" t="n"/>
      <c r="G13" s="6" t="n"/>
      <c r="H13" s="6" t="n"/>
      <c r="I13" s="7" t="inlineStr">
        <is>
          <t>不要</t>
        </is>
      </c>
      <c r="J13" s="8" t="inlineStr">
        <is>
          <t>詳細を開く</t>
        </is>
      </c>
    </row>
    <row r="14" ht="34" customHeight="1">
      <c r="A14" s="9" t="inlineStr">
        <is>
          <t>PROD-DATA-002</t>
        </is>
      </c>
      <c r="B14" s="10" t="inlineStr">
        <is>
          <t>P0</t>
        </is>
      </c>
      <c r="C14" s="9" t="inlineStr">
        <is>
          <t>データ</t>
        </is>
      </c>
      <c r="D14" s="9" t="inlineStr">
        <is>
          <t>画像・地図tile</t>
        </is>
      </c>
      <c r="E14" s="10" t="inlineStr">
        <is>
          <t>未着手</t>
        </is>
      </c>
      <c r="F14" s="9" t="n"/>
      <c r="G14" s="9" t="n"/>
      <c r="H14" s="9" t="n"/>
      <c r="I14" s="10" t="inlineStr">
        <is>
          <t>不要</t>
        </is>
      </c>
      <c r="J14" s="8" t="inlineStr">
        <is>
          <t>詳細を開く</t>
        </is>
      </c>
    </row>
    <row r="15" ht="34" customHeight="1">
      <c r="A15" s="6" t="inlineStr">
        <is>
          <t>PROD-AUTH-001</t>
        </is>
      </c>
      <c r="B15" s="7" t="inlineStr">
        <is>
          <t>P0</t>
        </is>
      </c>
      <c r="C15" s="6" t="inlineStr">
        <is>
          <t>認証・メール</t>
        </is>
      </c>
      <c r="D15" s="6" t="inlineStr">
        <is>
          <t>allowlistなしsignup・verification</t>
        </is>
      </c>
      <c r="E15" s="7" t="inlineStr">
        <is>
          <t>未着手</t>
        </is>
      </c>
      <c r="F15" s="6" t="n"/>
      <c r="G15" s="6" t="n"/>
      <c r="H15" s="6" t="n"/>
      <c r="I15" s="7" t="inlineStr">
        <is>
          <t>不要</t>
        </is>
      </c>
      <c r="J15" s="8" t="inlineStr">
        <is>
          <t>詳細を開く</t>
        </is>
      </c>
    </row>
    <row r="16" ht="34" customHeight="1">
      <c r="A16" s="9" t="inlineStr">
        <is>
          <t>PROD-AUTH-002</t>
        </is>
      </c>
      <c r="B16" s="10" t="inlineStr">
        <is>
          <t>P0</t>
        </is>
      </c>
      <c r="C16" s="9" t="inlineStr">
        <is>
          <t>認証・メール</t>
        </is>
      </c>
      <c r="D16" s="9" t="inlineStr">
        <is>
          <t>resend・password reset</t>
        </is>
      </c>
      <c r="E16" s="10" t="inlineStr">
        <is>
          <t>未着手</t>
        </is>
      </c>
      <c r="F16" s="9" t="n"/>
      <c r="G16" s="9" t="n"/>
      <c r="H16" s="9" t="n"/>
      <c r="I16" s="10" t="inlineStr">
        <is>
          <t>不要</t>
        </is>
      </c>
      <c r="J16" s="8" t="inlineStr">
        <is>
          <t>詳細を開く</t>
        </is>
      </c>
    </row>
    <row r="17" ht="34" customHeight="1">
      <c r="A17" s="6" t="inlineStr">
        <is>
          <t>PROD-AUTH-003</t>
        </is>
      </c>
      <c r="B17" s="7" t="inlineStr">
        <is>
          <t>P0</t>
        </is>
      </c>
      <c r="C17" s="6" t="inlineStr">
        <is>
          <t>認証</t>
        </is>
      </c>
      <c r="D17" s="6" t="inlineStr">
        <is>
          <t>既存／新規login・session・logout</t>
        </is>
      </c>
      <c r="E17" s="7" t="inlineStr">
        <is>
          <t>未着手</t>
        </is>
      </c>
      <c r="F17" s="6" t="n"/>
      <c r="G17" s="6" t="n"/>
      <c r="H17" s="6" t="n"/>
      <c r="I17" s="7" t="inlineStr">
        <is>
          <t>不要</t>
        </is>
      </c>
      <c r="J17" s="8" t="inlineStr">
        <is>
          <t>詳細を開く</t>
        </is>
      </c>
    </row>
    <row r="18" ht="34" customHeight="1">
      <c r="A18" s="9" t="inlineStr">
        <is>
          <t>PROD-AUTH-004</t>
        </is>
      </c>
      <c r="B18" s="10" t="inlineStr">
        <is>
          <t>P1</t>
        </is>
      </c>
      <c r="C18" s="9" t="inlineStr">
        <is>
          <t>認証</t>
        </is>
      </c>
      <c r="D18" s="9" t="inlineStr">
        <is>
          <t>X OAuth production callback</t>
        </is>
      </c>
      <c r="E18" s="10" t="inlineStr">
        <is>
          <t>未着手</t>
        </is>
      </c>
      <c r="F18" s="9" t="n"/>
      <c r="G18" s="9" t="n"/>
      <c r="H18" s="9" t="n"/>
      <c r="I18" s="10" t="inlineStr">
        <is>
          <t>不要</t>
        </is>
      </c>
      <c r="J18" s="8" t="inlineStr">
        <is>
          <t>詳細を開く</t>
        </is>
      </c>
    </row>
    <row r="19" ht="34" customHeight="1">
      <c r="A19" s="6" t="inlineStr">
        <is>
          <t>PROD-MAIL-001</t>
        </is>
      </c>
      <c r="B19" s="7" t="inlineStr">
        <is>
          <t>P1</t>
        </is>
      </c>
      <c r="C19" s="6" t="inlineStr">
        <is>
          <t>メール</t>
        </is>
      </c>
      <c r="D19" s="6" t="inlineStr">
        <is>
          <t>inquiry配送先</t>
        </is>
      </c>
      <c r="E19" s="7" t="inlineStr">
        <is>
          <t>未着手</t>
        </is>
      </c>
      <c r="F19" s="6" t="n"/>
      <c r="G19" s="6" t="n"/>
      <c r="H19" s="6" t="n"/>
      <c r="I19" s="7" t="inlineStr">
        <is>
          <t>不要</t>
        </is>
      </c>
      <c r="J19" s="8" t="inlineStr">
        <is>
          <t>詳細を開く</t>
        </is>
      </c>
    </row>
    <row r="20" ht="34" customHeight="1">
      <c r="A20" s="9" t="inlineStr">
        <is>
          <t>PROD-SEC-001</t>
        </is>
      </c>
      <c r="B20" s="10" t="inlineStr">
        <is>
          <t>P0</t>
        </is>
      </c>
      <c r="C20" s="9" t="inlineStr">
        <is>
          <t>セキュリティ</t>
        </is>
      </c>
      <c r="D20" s="9" t="inlineStr">
        <is>
          <t>Cookie・CSRF・Origin</t>
        </is>
      </c>
      <c r="E20" s="10" t="inlineStr">
        <is>
          <t>未着手</t>
        </is>
      </c>
      <c r="F20" s="9" t="n"/>
      <c r="G20" s="9" t="n"/>
      <c r="H20" s="9" t="n"/>
      <c r="I20" s="10" t="inlineStr">
        <is>
          <t>不要</t>
        </is>
      </c>
      <c r="J20" s="8" t="inlineStr">
        <is>
          <t>詳細を開く</t>
        </is>
      </c>
    </row>
    <row r="21" ht="34" customHeight="1">
      <c r="A21" s="6" t="inlineStr">
        <is>
          <t>PROD-SEC-002</t>
        </is>
      </c>
      <c r="B21" s="7" t="inlineStr">
        <is>
          <t>P0</t>
        </is>
      </c>
      <c r="C21" s="6" t="inlineStr">
        <is>
          <t>セキュリティ</t>
        </is>
      </c>
      <c r="D21" s="6" t="inlineStr">
        <is>
          <t>draft記事の非公開性</t>
        </is>
      </c>
      <c r="E21" s="7" t="inlineStr">
        <is>
          <t>未着手</t>
        </is>
      </c>
      <c r="F21" s="6" t="n"/>
      <c r="G21" s="6" t="n"/>
      <c r="H21" s="6" t="n"/>
      <c r="I21" s="7" t="inlineStr">
        <is>
          <t>不要</t>
        </is>
      </c>
      <c r="J21" s="8" t="inlineStr">
        <is>
          <t>詳細を開く</t>
        </is>
      </c>
    </row>
    <row r="22" ht="34" customHeight="1">
      <c r="A22" s="9" t="inlineStr">
        <is>
          <t>PROD-SEC-003</t>
        </is>
      </c>
      <c r="B22" s="10" t="inlineStr">
        <is>
          <t>P0</t>
        </is>
      </c>
      <c r="C22" s="9" t="inlineStr">
        <is>
          <t>セキュリティ</t>
        </is>
      </c>
      <c r="D22" s="9" t="inlineStr">
        <is>
          <t>非公開Special Mapの非公開性</t>
        </is>
      </c>
      <c r="E22" s="10" t="inlineStr">
        <is>
          <t>未着手</t>
        </is>
      </c>
      <c r="F22" s="9" t="n"/>
      <c r="G22" s="9" t="n"/>
      <c r="H22" s="9" t="n"/>
      <c r="I22" s="10" t="inlineStr">
        <is>
          <t>不要</t>
        </is>
      </c>
      <c r="J22" s="8" t="inlineStr">
        <is>
          <t>詳細を開く</t>
        </is>
      </c>
    </row>
    <row r="23" ht="34" customHeight="1">
      <c r="A23" s="6" t="inlineStr">
        <is>
          <t>PROD-WRITE-001</t>
        </is>
      </c>
      <c r="B23" s="7" t="inlineStr">
        <is>
          <t>P1</t>
        </is>
      </c>
      <c r="C23" s="6" t="inlineStr">
        <is>
          <t>書込み</t>
        </is>
      </c>
      <c r="D23" s="6" t="inlineStr">
        <is>
          <t>記事lifecycle・cleanup</t>
        </is>
      </c>
      <c r="E23" s="7" t="inlineStr">
        <is>
          <t>未着手</t>
        </is>
      </c>
      <c r="F23" s="6" t="n"/>
      <c r="G23" s="6" t="n"/>
      <c r="H23" s="6" t="n"/>
      <c r="I23" s="7" t="inlineStr">
        <is>
          <t>不要</t>
        </is>
      </c>
      <c r="J23" s="8" t="inlineStr">
        <is>
          <t>詳細を開く</t>
        </is>
      </c>
    </row>
    <row r="24" ht="34" customHeight="1">
      <c r="A24" s="9" t="inlineStr">
        <is>
          <t>PROD-WRITE-002</t>
        </is>
      </c>
      <c r="B24" s="10" t="inlineStr">
        <is>
          <t>P1</t>
        </is>
      </c>
      <c r="C24" s="9" t="inlineStr">
        <is>
          <t>書込み</t>
        </is>
      </c>
      <c r="D24" s="9" t="inlineStr">
        <is>
          <t>Special Map lifecycle・cleanup</t>
        </is>
      </c>
      <c r="E24" s="10" t="inlineStr">
        <is>
          <t>未着手</t>
        </is>
      </c>
      <c r="F24" s="9" t="n"/>
      <c r="G24" s="9" t="n"/>
      <c r="H24" s="9" t="n"/>
      <c r="I24" s="10" t="inlineStr">
        <is>
          <t>不要</t>
        </is>
      </c>
      <c r="J24" s="8" t="inlineStr">
        <is>
          <t>詳細を開く</t>
        </is>
      </c>
    </row>
    <row r="25" ht="34" customHeight="1">
      <c r="A25" s="6" t="inlineStr">
        <is>
          <t>PROD-WRITE-003</t>
        </is>
      </c>
      <c r="B25" s="7" t="inlineStr">
        <is>
          <t>P1</t>
        </is>
      </c>
      <c r="C25" s="6" t="inlineStr">
        <is>
          <t>書込み</t>
        </is>
      </c>
      <c r="D25" s="6" t="inlineStr">
        <is>
          <t>Good・Like一意性</t>
        </is>
      </c>
      <c r="E25" s="7" t="inlineStr">
        <is>
          <t>未着手</t>
        </is>
      </c>
      <c r="F25" s="6" t="n"/>
      <c r="G25" s="6" t="n"/>
      <c r="H25" s="6" t="n"/>
      <c r="I25" s="7" t="inlineStr">
        <is>
          <t>不要</t>
        </is>
      </c>
      <c r="J25" s="8" t="inlineStr">
        <is>
          <t>詳細を開く</t>
        </is>
      </c>
    </row>
    <row r="26" ht="34" customHeight="1">
      <c r="A26" s="9" t="inlineStr">
        <is>
          <t>PROD-SEO-001</t>
        </is>
      </c>
      <c r="B26" s="10" t="inlineStr">
        <is>
          <t>P1</t>
        </is>
      </c>
      <c r="C26" s="9" t="inlineStr">
        <is>
          <t>公開設定</t>
        </is>
      </c>
      <c r="D26" s="9" t="inlineStr">
        <is>
          <t>robots・sitemap・canonical・AdSense</t>
        </is>
      </c>
      <c r="E26" s="10" t="inlineStr">
        <is>
          <t>未着手</t>
        </is>
      </c>
      <c r="F26" s="9" t="n"/>
      <c r="G26" s="9" t="n"/>
      <c r="H26" s="9" t="n"/>
      <c r="I26" s="10" t="inlineStr">
        <is>
          <t>不要</t>
        </is>
      </c>
      <c r="J26" s="8" t="inlineStr">
        <is>
          <t>詳細を開く</t>
        </is>
      </c>
    </row>
    <row r="27" ht="34" customHeight="1">
      <c r="A27" s="6" t="inlineStr">
        <is>
          <t>PROD-OBS-001</t>
        </is>
      </c>
      <c r="B27" s="7" t="inlineStr">
        <is>
          <t>P0</t>
        </is>
      </c>
      <c r="C27" s="6" t="inlineStr">
        <is>
          <t>監視</t>
        </is>
      </c>
      <c r="D27" s="6" t="inlineStr">
        <is>
          <t>CloudWatch・配送・5xx確認</t>
        </is>
      </c>
      <c r="E27" s="7" t="inlineStr">
        <is>
          <t>未着手</t>
        </is>
      </c>
      <c r="F27" s="6" t="n"/>
      <c r="G27" s="6" t="n"/>
      <c r="H27" s="6" t="n"/>
      <c r="I27" s="7" t="inlineStr">
        <is>
          <t>不要</t>
        </is>
      </c>
      <c r="J27" s="8" t="inlineStr">
        <is>
          <t>詳細を開く</t>
        </is>
      </c>
    </row>
    <row r="28" ht="34" customHeight="1">
      <c r="A28" s="9" t="inlineStr">
        <is>
          <t>PROD-OBS-002</t>
        </is>
      </c>
      <c r="B28" s="10" t="inlineStr">
        <is>
          <t>P0</t>
        </is>
      </c>
      <c r="C28" s="9" t="inlineStr">
        <is>
          <t>監視</t>
        </is>
      </c>
      <c r="D28" s="9" t="inlineStr">
        <is>
          <t>安定監視・最終GO判定</t>
        </is>
      </c>
      <c r="E28" s="10" t="inlineStr">
        <is>
          <t>未着手</t>
        </is>
      </c>
      <c r="F28" s="9" t="n"/>
      <c r="G28" s="9" t="n"/>
      <c r="H28" s="9" t="n"/>
      <c r="I28" s="10" t="inlineStr">
        <is>
          <t>不要</t>
        </is>
      </c>
      <c r="J28" s="8" t="inlineStr">
        <is>
          <t>詳細を開く</t>
        </is>
      </c>
    </row>
    <row r="29" ht="34" customHeight="1">
      <c r="A29" s="6" t="inlineStr">
        <is>
          <t>PROD-ROLLBACK-001</t>
        </is>
      </c>
      <c r="B29" s="7" t="inlineStr">
        <is>
          <t>P0</t>
        </is>
      </c>
      <c r="C29" s="6" t="inlineStr">
        <is>
          <t>rollback</t>
        </is>
      </c>
      <c r="D29" s="6" t="inlineStr">
        <is>
          <t>切戻し可能性・判断記録</t>
        </is>
      </c>
      <c r="E29" s="7" t="inlineStr">
        <is>
          <t>未着手</t>
        </is>
      </c>
      <c r="F29" s="6" t="n"/>
      <c r="G29" s="6" t="n"/>
      <c r="H29" s="6" t="n"/>
      <c r="I29" s="7" t="inlineStr">
        <is>
          <t>不要</t>
        </is>
      </c>
      <c r="J29" s="8" t="inlineStr">
        <is>
          <t>詳細を開く</t>
        </is>
      </c>
    </row>
  </sheetData>
  <autoFilter ref="A4:J29"/>
  <mergeCells count="2">
    <mergeCell ref="A1:J1"/>
    <mergeCell ref="A2:J2"/>
  </mergeCells>
  <conditionalFormatting sqref="E5:E29">
    <cfRule type="expression" priority="1" dxfId="0">
      <formula>E5="PASS"</formula>
    </cfRule>
    <cfRule type="expression" priority="2" dxfId="1">
      <formula>E5="FAIL"</formula>
    </cfRule>
    <cfRule type="expression" priority="3" dxfId="2">
      <formula>E5="BLOCKED"</formula>
    </cfRule>
    <cfRule type="expression" priority="4" dxfId="3">
      <formula>E5="実施中"</formula>
    </cfRule>
  </conditionalFormatting>
  <dataValidations count="2">
    <dataValidation sqref="E5:E29" showDropDown="0" showInputMessage="0" showErrorMessage="0" allowBlank="0" type="list">
      <formula1>"未着手,実施中,PASS,FAIL,BLOCKED,SKIPPED"</formula1>
    </dataValidation>
    <dataValidation sqref="I5:I29" showDropDown="0" showInputMessage="0" showErrorMessage="0" allowBlank="0" type="list">
      <formula1>"不要,要再テスト,完了"</formula1>
    </dataValidation>
  </dataValidation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34" customWidth="1" min="4" max="4"/>
    <col width="38" customWidth="1" min="5" max="5"/>
    <col width="68" customWidth="1" min="6" max="6"/>
    <col width="55" customWidth="1" min="7" max="7"/>
    <col width="42" customWidth="1" min="8" max="8"/>
    <col width="52" customWidth="1" min="9" max="9"/>
  </cols>
  <sheetData>
    <row r="1" ht="28" customHeight="1">
      <c r="A1" s="1" t="inlineStr">
        <is>
          <t>TriviaMap production リリース受入れテストケース</t>
        </is>
      </c>
    </row>
    <row r="2" ht="38" customHeight="1">
      <c r="A2" s="2" t="inlineStr">
        <is>
          <t>production test用データだけを変更する。P0 FAIL時は後続の書込みを停止し、release ownerへ報告する。credential・token・メールアドレス全文は記録しない。</t>
        </is>
      </c>
    </row>
    <row r="4">
      <c r="A4" s="5" t="inlineStr">
        <is>
          <t>Test ID</t>
        </is>
      </c>
      <c r="B4" s="5" t="inlineStr">
        <is>
          <t>重要度</t>
        </is>
      </c>
      <c r="C4" s="5" t="inlineStr">
        <is>
          <t>フェーズ</t>
        </is>
      </c>
      <c r="D4" s="5" t="inlineStr">
        <is>
          <t>テスト名 / 目的</t>
        </is>
      </c>
      <c r="E4" s="5" t="inlineStr">
        <is>
          <t>事前条件</t>
        </is>
      </c>
      <c r="F4" s="5" t="inlineStr">
        <is>
          <t>詳細手順</t>
        </is>
      </c>
      <c r="G4" s="5" t="inlineStr">
        <is>
          <t>PASS条件</t>
        </is>
      </c>
      <c r="H4" s="5" t="inlineStr">
        <is>
          <t>停止・rollback条件</t>
        </is>
      </c>
      <c r="I4" s="5" t="inlineStr">
        <is>
          <t>FAIL時の証跡</t>
        </is>
      </c>
    </row>
    <row r="5" ht="132" customHeight="1">
      <c r="A5" s="11" t="inlineStr">
        <is>
          <t>PROD-PRE-001</t>
        </is>
      </c>
      <c r="B5" s="11" t="inlineStr">
        <is>
          <t>P0</t>
        </is>
      </c>
      <c r="C5" s="11" t="inlineStr">
        <is>
          <t>リリース前</t>
        </is>
      </c>
      <c r="D5" s="11" t="inlineStr">
        <is>
          <t>承認・revision固定
目的: stagingで合格したものと同一revisionだけをproductionへ出す。</t>
        </is>
      </c>
      <c r="E5" s="11" t="inlineStr">
        <is>
          <t>staging manual acceptance結果、CI結果、release候補commitが揃っている。</t>
        </is>
      </c>
      <c r="F5" s="11" t="inlineStr">
        <is>
          <t>全STGケースの結果と既知問題を確認し、release commit/tagとproduction workflow runを記録する。release ownerからproduction実行の明示承認を得る。</t>
        </is>
      </c>
      <c r="G5" s="11" t="inlineStr">
        <is>
          <t>未承認変更がなく、対象revisionと承認者が一意に記録されている。</t>
        </is>
      </c>
      <c r="H5" s="11" t="inlineStr">
        <is>
          <t>後続の書込み・cutover・cleanupを停止し、release ownerが継続またはrollbackを判断する。</t>
        </is>
      </c>
      <c r="I5" s="11" t="inlineStr">
        <is>
          <t>差分、未完了STGケース、承認不足を記録し、production変更を開始しない。</t>
        </is>
      </c>
    </row>
    <row r="6" ht="132" customHeight="1">
      <c r="A6" s="12" t="inlineStr">
        <is>
          <t>PROD-PRE-002</t>
        </is>
      </c>
      <c r="B6" s="12" t="inlineStr">
        <is>
          <t>P0</t>
        </is>
      </c>
      <c r="C6" s="12" t="inlineStr">
        <is>
          <t>リリース前</t>
        </is>
      </c>
      <c r="D6" s="12" t="inlineStr">
        <is>
          <t>backup・rollback準備
目的: cutover後に重大障害が起きてもデータと経路を戻せる状態にする。</t>
        </is>
      </c>
      <c r="E6" s="12" t="inlineStr">
        <is>
          <t>release revisionとproduction対象resourceを記録済み。必要なtest identityと証跡保存先を準備済み。</t>
        </is>
      </c>
      <c r="F6" s="12" t="inlineStr">
        <is>
          <t>migration source snapshot、DynamoDB PITR/backup、S3 versioningまたはコピー、旧frontend/API/DNS情報、rollback手順、担当者を確認する。実際の切戻しは行わない。</t>
        </is>
      </c>
      <c r="G6" s="12" t="inlineStr">
        <is>
          <t>復旧元、切戻し対象、権限、所要時間、実行責任者が確認できる。</t>
        </is>
      </c>
      <c r="H6" s="12" t="inlineStr">
        <is>
          <t>後続の書込み・cutover・cleanupを停止し、release ownerが継続またはrollbackを判断する。</t>
        </is>
      </c>
      <c r="I6" s="12" t="inlineStr">
        <is>
          <t>欠けているbackupまたは権限を記録し、cutoverを停止する。</t>
        </is>
      </c>
    </row>
    <row r="7" ht="132" customHeight="1">
      <c r="A7" s="11" t="inlineStr">
        <is>
          <t>PROD-PRE-003</t>
        </is>
      </c>
      <c r="B7" s="11" t="inlineStr">
        <is>
          <t>P0</t>
        </is>
      </c>
      <c r="C7" s="11" t="inlineStr">
        <is>
          <t>リリース前</t>
        </is>
      </c>
      <c r="D7" s="11" t="inlineStr">
        <is>
          <t>production設定・secret境界
目的: staging設定やcredentialがproductionへ混入していないことを確認する。</t>
        </is>
      </c>
      <c r="E7" s="11" t="inlineStr">
        <is>
          <t>release revisionとproduction対象resourceを記録済み。必要なtest identityと証跡保存先を準備済み。</t>
        </is>
      </c>
      <c r="F7" s="11" t="inlineStr">
        <is>
          <t>site/API origin、mail secret、X callback、JWT/signing key、S3 bucket、table、noindex、Basic認証、AdSense設定を秘密値を表示せず照合する。</t>
        </is>
      </c>
      <c r="G7" s="11" t="inlineStr">
        <is>
          <t>production専用resourceを参照し、staging URL、staging allowlist、Basic認証、noindexがproduction build/runtimeに存在しない。</t>
        </is>
      </c>
      <c r="H7" s="11" t="inlineStr">
        <is>
          <t>後続の書込み・cutover・cleanupを停止し、release ownerが継続またはrollbackを判断する。</t>
        </is>
      </c>
      <c r="I7" s="11" t="inlineStr">
        <is>
          <t>resource名と設定キーだけを記録し、secret値は記録しない。</t>
        </is>
      </c>
    </row>
    <row r="8" ht="132" customHeight="1">
      <c r="A8" s="12" t="inlineStr">
        <is>
          <t>PROD-PRE-004</t>
        </is>
      </c>
      <c r="B8" s="12" t="inlineStr">
        <is>
          <t>P0</t>
        </is>
      </c>
      <c r="C8" s="12" t="inlineStr">
        <is>
          <t>リリース前</t>
        </is>
      </c>
      <c r="D8" s="12" t="inlineStr">
        <is>
          <t>migration validation
目的: cutover対象データがsource snapshotと一致することを確認する。</t>
        </is>
      </c>
      <c r="E8" s="12" t="inlineStr">
        <is>
          <t>release revisionとproduction対象resourceを記録済み。必要なtest identityと証跡保存先を準備済み。</t>
        </is>
      </c>
      <c r="F8" s="12" t="inlineStr">
        <is>
          <t>count、legacy ID、relation、Twitter identity、画像key/checksum、resume/idempotencyのvalidation reportを確認する。</t>
        </is>
      </c>
      <c r="G8" s="12" t="inlineStr">
        <is>
          <t>許容差0の項目が一致し、例外がある場合はrelease ownerの承認と影響範囲が記録されている。</t>
        </is>
      </c>
      <c r="H8" s="12" t="inlineStr">
        <is>
          <t>後続の書込み・cutover・cleanupを停止し、release ownerが継続またはrollbackを判断する。</t>
        </is>
      </c>
      <c r="I8" s="12" t="inlineStr">
        <is>
          <t>entity、期待件数、実件数、sample IDを記録してcutoverを停止する。</t>
        </is>
      </c>
    </row>
    <row r="9" ht="132" customHeight="1">
      <c r="A9" s="11" t="inlineStr">
        <is>
          <t>PROD-CUTOVER-001</t>
        </is>
      </c>
      <c r="B9" s="11" t="inlineStr">
        <is>
          <t>P0</t>
        </is>
      </c>
      <c r="C9" s="11" t="inlineStr">
        <is>
          <t>切替直後</t>
        </is>
      </c>
      <c r="D9" s="11" t="inlineStr">
        <is>
          <t>DNS・TLS・Basic認証撤去
目的: production domainが新distributionを公開状態で安全に提供することを確認する。</t>
        </is>
      </c>
      <c r="E9" s="11" t="inlineStr">
        <is>
          <t>release revisionとproduction対象resourceを記録済み。必要なtest identityと証跡保存先を準備済み。</t>
        </is>
      </c>
      <c r="F9" s="11" t="inlineStr">
        <is>
          <t>`https://triviamap.jp` と代表的なhostを通常browser/curlで開き、DNS、certificate、HTTP→HTTPS、Basic認証promptの有無を確認する。</t>
        </is>
      </c>
      <c r="G9" s="11" t="inlineStr">
        <is>
          <t>正しいcertificateで200相当になり、Basic認証やstaging hostへのredirectがない。</t>
        </is>
      </c>
      <c r="H9" s="11" t="inlineStr">
        <is>
          <t>後続の書込み・cutover・cleanupを停止し、release ownerが継続またはrollbackを判断する。</t>
        </is>
      </c>
      <c r="I9" s="11" t="inlineStr">
        <is>
          <t>resolved target、certificate subject/expiry、status、redirect chainを記録する。</t>
        </is>
      </c>
    </row>
    <row r="10" ht="132" customHeight="1">
      <c r="A10" s="12" t="inlineStr">
        <is>
          <t>PROD-CUTOVER-002</t>
        </is>
      </c>
      <c r="B10" s="12" t="inlineStr">
        <is>
          <t>P0</t>
        </is>
      </c>
      <c r="C10" s="12" t="inlineStr">
        <is>
          <t>切替直後</t>
        </is>
      </c>
      <c r="D10" s="12" t="inlineStr">
        <is>
          <t>frontend・API・image同一origin
目的: productionの主要origin routingが正しいことを確認する。</t>
        </is>
      </c>
      <c r="E10" s="12" t="inlineStr">
        <is>
          <t>release revisionとproduction対象resourceを記録済み。必要なtest identityと証跡保存先を準備済み。</t>
        </is>
      </c>
      <c r="F10" s="12" t="inlineStr">
        <is>
          <t>homepage、`/api/health`、公開記事API、実在する`/images/*`を開き、Networkのhost、status、content-typeを確認する。</t>
        </is>
      </c>
      <c r="G10" s="12" t="inlineStr">
        <is>
          <t>production同一originでfrontend/API/imageが成功し、localhost・staging・旧APIへのrequestがない。</t>
        </is>
      </c>
      <c r="H10" s="12" t="inlineStr">
        <is>
          <t>後続の書込み・cutover・cleanupを停止し、release ownerが継続またはrollbackを判断する。</t>
        </is>
      </c>
      <c r="I10" s="12" t="inlineStr">
        <is>
          <t>request URL、status、content-type、CloudFront headerを記録する。</t>
        </is>
      </c>
    </row>
    <row r="11" ht="132" customHeight="1">
      <c r="A11" s="11" t="inlineStr">
        <is>
          <t>PROD-CUTOVER-003</t>
        </is>
      </c>
      <c r="B11" s="11" t="inlineStr">
        <is>
          <t>P1</t>
        </is>
      </c>
      <c r="C11" s="11" t="inlineStr">
        <is>
          <t>切替直後</t>
        </is>
      </c>
      <c r="D11" s="11" t="inlineStr">
        <is>
          <t>SPA・cache・invalidation
目的: 新revisionが直接URLとreloadで一貫して配信されることを確認する。</t>
        </is>
      </c>
      <c r="E11" s="11" t="inlineStr">
        <is>
          <t>release revisionとproduction対象resourceを記録済み。必要なtest identityと証跡保存先を準備済み。</t>
        </is>
      </c>
      <c r="F11" s="11" t="inlineStr">
        <is>
          <t>記事、Special Map、loginなどの直接URLを開き、hard reloadと通常reloadを行う。HTMLとhashed assetのcache header、revisionを確認する。</t>
        </is>
      </c>
      <c r="G11" s="11" t="inlineStr">
        <is>
          <t>SPA routeが表示され、旧index/assetとの混在やAPI/imageのindex.html化がない。</t>
        </is>
      </c>
      <c r="H11" s="11" t="inlineStr">
        <is>
          <t>FAILを記録し、影響範囲を確認する。</t>
        </is>
      </c>
      <c r="I11" s="11" t="inlineStr">
        <is>
          <t>URL、cache header、asset hash、response body種別を記録する。</t>
        </is>
      </c>
    </row>
    <row r="12" ht="132" customHeight="1">
      <c r="A12" s="12" t="inlineStr">
        <is>
          <t>PROD-CUTOVER-004</t>
        </is>
      </c>
      <c r="B12" s="12" t="inlineStr">
        <is>
          <t>P0</t>
        </is>
      </c>
      <c r="C12" s="12" t="inlineStr">
        <is>
          <t>切替直後</t>
        </is>
      </c>
      <c r="D12" s="12" t="inlineStr">
        <is>
          <t>API Gateway直接アクセス拒否
目的: CloudFrontを経由しないAPI利用を拒否する。</t>
        </is>
      </c>
      <c r="E12" s="12" t="inlineStr">
        <is>
          <t>release revisionとproduction対象resourceを記録済み。必要なtest identityと証跡保存先を準備済み。</t>
        </is>
      </c>
      <c r="F12" s="12" t="inlineStr">
        <is>
          <t>production API Gateway URLのhealthと代表routeへ、CloudFront専用headerなしでアクセスする。</t>
        </is>
      </c>
      <c r="G12" s="12" t="inlineStr">
        <is>
          <t>404相当で拒否され、CloudFront経由の同じAPIは成功する。</t>
        </is>
      </c>
      <c r="H12" s="12" t="inlineStr">
        <is>
          <t>後続の書込み・cutover・cleanupを停止し、release ownerが継続またはrollbackを判断する。</t>
        </is>
      </c>
      <c r="I12" s="12" t="inlineStr">
        <is>
          <t>direct URLのhost、method、statusのみを記録する。専用header値は記録しない。</t>
        </is>
      </c>
    </row>
    <row r="13" ht="132" customHeight="1">
      <c r="A13" s="11" t="inlineStr">
        <is>
          <t>PROD-DATA-001</t>
        </is>
      </c>
      <c r="B13" s="11" t="inlineStr">
        <is>
          <t>P0</t>
        </is>
      </c>
      <c r="C13" s="11" t="inlineStr">
        <is>
          <t>データ</t>
        </is>
      </c>
      <c r="D13" s="11" t="inlineStr">
        <is>
          <t>件数・legacy ID・relation
目的: migration後の主要データをproduction UI/APIで抜き取り確認する。</t>
        </is>
      </c>
      <c r="E13" s="11" t="inlineStr">
        <is>
          <t>release revisionとproduction対象resourceを記録済み。必要なtest identityと証跡保存先を準備済み。</t>
        </is>
      </c>
      <c r="F13" s="11" t="inlineStr">
        <is>
          <t>Users、Articles、Markers、Likes、Goods、Special Mapsをvalidation reportと比較し、変更しないlegacy IDを複数開く。</t>
        </is>
      </c>
      <c r="G13" s="11" t="inlineStr">
        <is>
          <t>件数とIDが一致し、author、marker、category、Like/Good、map-marker relationが正しい。</t>
        </is>
      </c>
      <c r="H13" s="11" t="inlineStr">
        <is>
          <t>後続の書込み・cutover・cleanupを停止し、release ownerが継続またはrollbackを判断する。</t>
        </is>
      </c>
      <c r="I13" s="11" t="inlineStr">
        <is>
          <t>entity、ID、期待値、実値を記録し、既存データは変更しない。</t>
        </is>
      </c>
    </row>
    <row r="14" ht="132" customHeight="1">
      <c r="A14" s="12" t="inlineStr">
        <is>
          <t>PROD-DATA-002</t>
        </is>
      </c>
      <c r="B14" s="12" t="inlineStr">
        <is>
          <t>P0</t>
        </is>
      </c>
      <c r="C14" s="12" t="inlineStr">
        <is>
          <t>データ</t>
        </is>
      </c>
      <c r="D14" s="12" t="inlineStr">
        <is>
          <t>画像・地図tile
目的: 移行画像とmap tileが画像として配信されることを確認する。</t>
        </is>
      </c>
      <c r="E14" s="12" t="inlineStr">
        <is>
          <t>release revisionとproduction対象resourceを記録済み。必要なtest identityと証跡保存先を準備済み。</t>
        </is>
      </c>
      <c r="F14" s="12" t="inlineStr">
        <is>
          <t>user icon、article image、Special Map thumbnail/marker imageを複数表示し、Land/Seaを全zoomで移動する。</t>
        </is>
      </c>
      <c r="G14" s="12" t="inlineStr">
        <is>
          <t>実在画像/tileが`200 image/*`で、欠落・HTML代替・大量の403/404がない。</t>
        </is>
      </c>
      <c r="H14" s="12" t="inlineStr">
        <is>
          <t>後続の書込み・cutover・cleanupを停止し、release ownerが継続またはrollbackを判断する。</t>
        </is>
      </c>
      <c r="I14" s="12" t="inlineStr">
        <is>
          <t>固定resource URL、status、content-type、画面位置を記録する。</t>
        </is>
      </c>
    </row>
    <row r="15" ht="132" customHeight="1">
      <c r="A15" s="11" t="inlineStr">
        <is>
          <t>PROD-AUTH-001</t>
        </is>
      </c>
      <c r="B15" s="11" t="inlineStr">
        <is>
          <t>P0</t>
        </is>
      </c>
      <c r="C15" s="11" t="inlineStr">
        <is>
          <t>認証・メール</t>
        </is>
      </c>
      <c r="D15" s="11" t="inlineStr">
        <is>
          <t>allowlistなしsignup・verification
目的: productionでstaging allowlistが適用されず、担当者管理下の新規アドレスへ認証メールが届くことを確認する。</t>
        </is>
      </c>
      <c r="E15" s="11" t="inlineStr">
        <is>
          <t>staging allowlistに含まれない、未登録の実在テストアドレスを最低1件用意する。可能なら異なるmail providerを2件使う。</t>
        </is>
      </c>
      <c r="F15" s="11" t="inlineStr">
        <is>
          <t>signupし、受信時刻、送信元、件名、production linkを確認してverificationを完了する。</t>
        </is>
      </c>
      <c r="G15" s="11" t="inlineStr">
        <is>
          <t>allowlist由来の拒否がなくaccountが作成され、メールが適切な時間内に届き、linkがproduction originを指して認証できる。</t>
        </is>
      </c>
      <c r="H15" s="11" t="inlineStr">
        <is>
          <t>後続の書込み・cutover・cleanupを停止し、release ownerが継続またはrollbackを判断する。</t>
        </is>
      </c>
      <c r="I15" s="11" t="inlineStr">
        <is>
          <t>provider、request/受信時刻、status、画面を記録する。アドレス全文とtokenは記録しない。</t>
        </is>
      </c>
    </row>
    <row r="16" ht="132" customHeight="1">
      <c r="A16" s="12" t="inlineStr">
        <is>
          <t>PROD-AUTH-002</t>
        </is>
      </c>
      <c r="B16" s="12" t="inlineStr">
        <is>
          <t>P0</t>
        </is>
      </c>
      <c r="C16" s="12" t="inlineStr">
        <is>
          <t>認証・メール</t>
        </is>
      </c>
      <c r="D16" s="12" t="inlineStr">
        <is>
          <t>resend・password reset
目的: productionの認証メール再送とpassword resetを確認する。</t>
        </is>
      </c>
      <c r="E16" s="12" t="inlineStr">
        <is>
          <t>release revisionとproduction対象resourceを記録済み。必要なtest identityと証跡保存先を準備済み。</t>
        </is>
      </c>
      <c r="F16" s="12" t="inlineStr">
        <is>
          <t>管理下アドレスでresendとresetを実行し、新passwordでloginする。未登録アドレスへの応答がaccount有無を漏らさないことも確認する。</t>
        </is>
      </c>
      <c r="G16" s="12" t="inlineStr">
        <is>
          <t>production linkが届き、tokenが一度だけ有効で、汎用応答によりaccount enumerationができない。</t>
        </is>
      </c>
      <c r="H16" s="12" t="inlineStr">
        <is>
          <t>後続の書込み・cutover・cleanupを停止し、release ownerが継続またはrollbackを判断する。</t>
        </is>
      </c>
      <c r="I16" s="12" t="inlineStr">
        <is>
          <t>操作時刻、provider、status、汎用応答との差異を記録する。</t>
        </is>
      </c>
    </row>
    <row r="17" ht="132" customHeight="1">
      <c r="A17" s="11" t="inlineStr">
        <is>
          <t>PROD-AUTH-003</t>
        </is>
      </c>
      <c r="B17" s="11" t="inlineStr">
        <is>
          <t>P0</t>
        </is>
      </c>
      <c r="C17" s="11" t="inlineStr">
        <is>
          <t>認証</t>
        </is>
      </c>
      <c r="D17" s="11" t="inlineStr">
        <is>
          <t>既存／新規login・session・logout
目的: migration済みaccountと新規accountの双方で認証sessionを確認する。</t>
        </is>
      </c>
      <c r="E17" s="11" t="inlineStr">
        <is>
          <t>release revisionとproduction対象resourceを記録済み。必要なtest identityと証跡保存先を準備済み。</t>
        </is>
      </c>
      <c r="F17" s="11" t="inlineStr">
        <is>
          <t>既存accountとPROD-AUTH-001のaccountでlogin、reload、protected操作、logout、logout後の再操作を行う。</t>
        </is>
      </c>
      <c r="G17" s="11" t="inlineStr">
        <is>
          <t>正常login、session維持、refresh、logout後拒否が成立し、CookieにSecure/HttpOnly/SameSiteが付く。</t>
        </is>
      </c>
      <c r="H17" s="11" t="inlineStr">
        <is>
          <t>後続の書込み・cutover・cleanupを停止し、release ownerが継続またはrollbackを判断する。</t>
        </is>
      </c>
      <c r="I17" s="11" t="inlineStr">
        <is>
          <t>account種別、時刻、status、Cookie属性名のみを記録する。</t>
        </is>
      </c>
    </row>
    <row r="18" ht="132" customHeight="1">
      <c r="A18" s="12" t="inlineStr">
        <is>
          <t>PROD-AUTH-004</t>
        </is>
      </c>
      <c r="B18" s="12" t="inlineStr">
        <is>
          <t>P1</t>
        </is>
      </c>
      <c r="C18" s="12" t="inlineStr">
        <is>
          <t>認証</t>
        </is>
      </c>
      <c r="D18" s="12" t="inlineStr">
        <is>
          <t>X OAuth production callback
目的: X OAuthがproduction callbackと既存identityを使用することを確認する。</t>
        </is>
      </c>
      <c r="E18" s="12" t="inlineStr">
        <is>
          <t>release revisionとproduction対象resourceを記録済み。必要なtest identityと証跡保存先を準備済み。</t>
        </is>
      </c>
      <c r="F18" s="12" t="inlineStr">
        <is>
          <t>productionからX loginし、provider redirect、callback origin、既存account linkage、logout/reloginを確認する。</t>
        </is>
      </c>
      <c r="G18" s="12" t="inlineStr">
        <is>
          <t>callbackがproduction固定で、既存identityが重複accountを作らず、失敗時にcredentialを表示しない。</t>
        </is>
      </c>
      <c r="H18" s="12" t="inlineStr">
        <is>
          <t>FAILを記録し、影響範囲を確認する。</t>
        </is>
      </c>
      <c r="I18" s="12" t="inlineStr">
        <is>
          <t>provider error code、callback origin、画面を記録し、query/tokenは伏せる。</t>
        </is>
      </c>
    </row>
    <row r="19" ht="132" customHeight="1">
      <c r="A19" s="11" t="inlineStr">
        <is>
          <t>PROD-MAIL-001</t>
        </is>
      </c>
      <c r="B19" s="11" t="inlineStr">
        <is>
          <t>P1</t>
        </is>
      </c>
      <c r="C19" s="11" t="inlineStr">
        <is>
          <t>メール</t>
        </is>
      </c>
      <c r="D19" s="11" t="inlineStr">
        <is>
          <t>inquiry配送先
目的: inquiryがproduction管理者宛だけに届くことを確認する。</t>
        </is>
      </c>
      <c r="E19" s="11" t="inlineStr">
        <is>
          <t>release revisionとproduction対象resourceを記録済み。必要なtest identityと証跡保存先を準備済み。</t>
        </is>
      </c>
      <c r="F19" s="11" t="inlineStr">
        <is>
          <t>`[PROD TEST]` と明記した問い合わせを1件送信し、事前調整したproduction受信担当者が受信を確認する。</t>
        </is>
      </c>
      <c r="G19" s="11" t="inlineStr">
        <is>
          <t>production recipientへ1通だけ届き、staging recipientや入力者以外へ誤配送されない。</t>
        </is>
      </c>
      <c r="H19" s="11" t="inlineStr">
        <is>
          <t>FAILを記録し、影響範囲を確認する。</t>
        </is>
      </c>
      <c r="I19" s="11" t="inlineStr">
        <is>
          <t>request/受信時刻、重複数、配送statusを記録する。recipient全文は記録しない。</t>
        </is>
      </c>
    </row>
    <row r="20" ht="132" customHeight="1">
      <c r="A20" s="12" t="inlineStr">
        <is>
          <t>PROD-SEC-001</t>
        </is>
      </c>
      <c r="B20" s="12" t="inlineStr">
        <is>
          <t>P0</t>
        </is>
      </c>
      <c r="C20" s="12" t="inlineStr">
        <is>
          <t>セキュリティ</t>
        </is>
      </c>
      <c r="D20" s="12" t="inlineStr">
        <is>
          <t>Cookie・CSRF・Origin
目的: productionのcookie認証mutationをcross-origin操作から保護する。</t>
        </is>
      </c>
      <c r="E20" s="12" t="inlineStr">
        <is>
          <t>release revisionとproduction対象resourceを記録済み。必要なtest identityと証跡保存先を準備済み。</t>
        </is>
      </c>
      <c r="F20" s="12" t="inlineStr">
        <is>
          <t>正常originの更新が成功することを確認し、CSRF headerなし、不一致token、不正Originの代表mutationが拒否されることを確認する。</t>
        </is>
      </c>
      <c r="G20" s="12" t="inlineStr">
        <is>
          <t>正常操作だけが成功し、不正操作は401/403相当でデータを変更しない。</t>
        </is>
      </c>
      <c r="H20" s="12" t="inlineStr">
        <is>
          <t>後続の書込み・cutover・cleanupを停止し、release ownerが継続またはrollbackを判断する。</t>
        </is>
      </c>
      <c r="I20" s="12" t="inlineStr">
        <is>
          <t>method、path、Origin、statusを記録し、Cookie/token値は記録しない。</t>
        </is>
      </c>
    </row>
    <row r="21" ht="132" customHeight="1">
      <c r="A21" s="11" t="inlineStr">
        <is>
          <t>PROD-SEC-002</t>
        </is>
      </c>
      <c r="B21" s="11" t="inlineStr">
        <is>
          <t>P0</t>
        </is>
      </c>
      <c r="C21" s="11" t="inlineStr">
        <is>
          <t>セキュリティ</t>
        </is>
      </c>
      <c r="D21" s="11" t="inlineStr">
        <is>
          <t>draft記事の非公開性
目的: draft記事がURLやAPIを知る非所有者へ漏れないことを確認する。</t>
        </is>
      </c>
      <c r="E21" s="11" t="inlineStr">
        <is>
          <t>release revisionとproduction対象resourceを記録済み。必要なtest identityと証跡保存先を準備済み。</t>
        </is>
      </c>
      <c r="F21" s="11" t="inlineStr">
        <is>
          <t>production test accountでdraftを作り、未ログイン・別test userから詳細URL/APIへアクセスする。公開一覧、marker、category、user page、sitemapも確認する。</t>
        </is>
      </c>
      <c r="G21" s="11" t="inlineStr">
        <is>
          <t>非所有者は404相当で内容を取得できず、ownerだけが管理できる。</t>
        </is>
      </c>
      <c r="H21" s="11" t="inlineStr">
        <is>
          <t>後続の書込み・cutover・cleanupを停止し、release ownerが継続またはrollbackを判断する。</t>
        </is>
      </c>
      <c r="I21" s="11" t="inlineStr">
        <is>
          <t>test article ID、ユーザー状態、URL、status、漏洩fieldを記録する。</t>
        </is>
      </c>
    </row>
    <row r="22" ht="132" customHeight="1">
      <c r="A22" s="12" t="inlineStr">
        <is>
          <t>PROD-SEC-003</t>
        </is>
      </c>
      <c r="B22" s="12" t="inlineStr">
        <is>
          <t>P0</t>
        </is>
      </c>
      <c r="C22" s="12" t="inlineStr">
        <is>
          <t>セキュリティ</t>
        </is>
      </c>
      <c r="D22" s="12" t="inlineStr">
        <is>
          <t>非公開Special Mapの非公開性
目的: 非公開mapと配下marker・画像情報が非所有者へ漏れないことを確認する。</t>
        </is>
      </c>
      <c r="E22" s="12" t="inlineStr">
        <is>
          <t>release revisionとproduction対象resourceを記録済み。必要なtest identityと証跡保存先を準備済み。</t>
        </is>
      </c>
      <c r="F22" s="12" t="inlineStr">
        <is>
          <t>marker/画像付き非公開test mapを作り、未ログイン・別test userから詳細、marker API、編集URL、公開一覧、sitemapを確認する。</t>
        </is>
      </c>
      <c r="G22" s="12" t="inlineStr">
        <is>
          <t>非所有者は404相当でmap/marker内容を取得できず、ownerだけが管理できる。</t>
        </is>
      </c>
      <c r="H22" s="12" t="inlineStr">
        <is>
          <t>後続の書込み・cutover・cleanupを停止し、release ownerが継続またはrollbackを判断する。</t>
        </is>
      </c>
      <c r="I22" s="12" t="inlineStr">
        <is>
          <t>test map/marker ID、ユーザー状態、URL、status、漏洩fieldを記録する。</t>
        </is>
      </c>
    </row>
    <row r="23" ht="132" customHeight="1">
      <c r="A23" s="11" t="inlineStr">
        <is>
          <t>PROD-WRITE-001</t>
        </is>
      </c>
      <c r="B23" s="11" t="inlineStr">
        <is>
          <t>P1</t>
        </is>
      </c>
      <c r="C23" s="11" t="inlineStr">
        <is>
          <t>書込み</t>
        </is>
      </c>
      <c r="D23" s="11" t="inlineStr">
        <is>
          <t>記事lifecycle・cleanup
目的: productionの代表的な記事write pathを最小回数で確認する。</t>
        </is>
      </c>
      <c r="E23" s="11" t="inlineStr">
        <is>
          <t>release revisionとproduction対象resourceを記録済み。必要なtest identityと証跡保存先を準備済み。</t>
        </is>
      </c>
      <c r="F23" s="11" t="inlineStr">
        <is>
          <t>test記事をdraft作成、画像追加、編集、publishし、一覧・marker・categoryへ反映後に削除する。</t>
        </is>
      </c>
      <c r="G23" s="11" t="inlineStr">
        <is>
          <t>lifecycleが一貫し、削除後に関連表示とtest画像が仕様どおりcleanupされる。</t>
        </is>
      </c>
      <c r="H23" s="11" t="inlineStr">
        <is>
          <t>FAILを記録し、影響範囲を確認する。</t>
        </is>
      </c>
      <c r="I23" s="11" t="inlineStr">
        <is>
          <t>test ID、各操作status、残存箇所を記録する。</t>
        </is>
      </c>
    </row>
    <row r="24" ht="132" customHeight="1">
      <c r="A24" s="12" t="inlineStr">
        <is>
          <t>PROD-WRITE-002</t>
        </is>
      </c>
      <c r="B24" s="12" t="inlineStr">
        <is>
          <t>P1</t>
        </is>
      </c>
      <c r="C24" s="12" t="inlineStr">
        <is>
          <t>書込み</t>
        </is>
      </c>
      <c r="D24" s="12" t="inlineStr">
        <is>
          <t>Special Map lifecycle・cleanup
目的: productionのSpecial Mapとmarkerのwrite pathを確認する。</t>
        </is>
      </c>
      <c r="E24" s="12" t="inlineStr">
        <is>
          <t>release revisionとproduction対象resourceを記録済み。必要なtest identityと証跡保存先を準備済み。</t>
        </is>
      </c>
      <c r="F24" s="12" t="inlineStr">
        <is>
          <t>非公開test mapを作成し、marker/画像追加、編集、公開、非公開、marker削除、map削除を行う。</t>
        </is>
      </c>
      <c r="G24" s="12" t="inlineStr">
        <is>
          <t>owner操作と公開状態が一貫し、最後にtest mapと関連markerが残らない。</t>
        </is>
      </c>
      <c r="H24" s="12" t="inlineStr">
        <is>
          <t>FAILを記録し、影響範囲を確認する。</t>
        </is>
      </c>
      <c r="I24" s="12" t="inlineStr">
        <is>
          <t>test map/marker ID、操作status、残存resourceを記録する。</t>
        </is>
      </c>
    </row>
    <row r="25" ht="132" customHeight="1">
      <c r="A25" s="11" t="inlineStr">
        <is>
          <t>PROD-WRITE-003</t>
        </is>
      </c>
      <c r="B25" s="11" t="inlineStr">
        <is>
          <t>P1</t>
        </is>
      </c>
      <c r="C25" s="11" t="inlineStr">
        <is>
          <t>書込み</t>
        </is>
      </c>
      <c r="D25" s="11" t="inlineStr">
        <is>
          <t>Good・Like一意性
目的: productionでreactionの追加・解除と重複防止を確認する。</t>
        </is>
      </c>
      <c r="E25" s="11" t="inlineStr">
        <is>
          <t>release revisionとproduction対象resourceを記録済み。必要なtest identityと証跡保存先を準備済み。</t>
        </is>
      </c>
      <c r="F25" s="11" t="inlineStr">
        <is>
          <t>test記事に匿名Goodとlogin Likeを追加・再操作・解除し、countと状態を確認する。</t>
        </is>
      </c>
      <c r="G25" s="11" t="inlineStr">
        <is>
          <t>重複record/countが作られず、最終状態が操作と一致する。</t>
        </is>
      </c>
      <c r="H25" s="11" t="inlineStr">
        <is>
          <t>FAILを記録し、影響範囲を確認する。</t>
        </is>
      </c>
      <c r="I25" s="11" t="inlineStr">
        <is>
          <t>test article ID、操作順、count推移、statusを記録する。</t>
        </is>
      </c>
    </row>
    <row r="26" ht="132" customHeight="1">
      <c r="A26" s="12" t="inlineStr">
        <is>
          <t>PROD-SEO-001</t>
        </is>
      </c>
      <c r="B26" s="12" t="inlineStr">
        <is>
          <t>P1</t>
        </is>
      </c>
      <c r="C26" s="12" t="inlineStr">
        <is>
          <t>公開設定</t>
        </is>
      </c>
      <c r="D26" s="12" t="inlineStr">
        <is>
          <t>robots・sitemap・canonical・AdSense
目的: stagingでは確認できないproduction公開設定を確認する。</t>
        </is>
      </c>
      <c r="E26" s="12" t="inlineStr">
        <is>
          <t>release revisionとproduction対象resourceを記録済み。必要なtest identityと証跡保存先を準備済み。</t>
        </is>
      </c>
      <c r="F26" s="12" t="inlineStr">
        <is>
          <t>robots、sitemap、記事metadata、canonical、OGP、noindexの不在、AdSense script/client設定を確認する。</t>
        </is>
      </c>
      <c r="G26" s="12" t="inlineStr">
        <is>
          <t>production URLだけを参照し、index可能な方針と正しいAdSense設定になっている。Consoleに広告設定由来の致命的errorがない。</t>
        </is>
      </c>
      <c r="H26" s="12" t="inlineStr">
        <is>
          <t>FAILを記録し、影響範囲を確認する。</t>
        </is>
      </c>
      <c r="I26" s="12" t="inlineStr">
        <is>
          <t>URL、meta名、期待値、実値、Console messageを記録する。広告credentialは記録しない。</t>
        </is>
      </c>
    </row>
    <row r="27" ht="132" customHeight="1">
      <c r="A27" s="11" t="inlineStr">
        <is>
          <t>PROD-OBS-001</t>
        </is>
      </c>
      <c r="B27" s="11" t="inlineStr">
        <is>
          <t>P0</t>
        </is>
      </c>
      <c r="C27" s="11" t="inlineStr">
        <is>
          <t>監視</t>
        </is>
      </c>
      <c r="D27" s="11" t="inlineStr">
        <is>
          <t>CloudWatch・配送・5xx確認
目的: smoke test中のserver-side障害と意図しないメール配送を検出する。</t>
        </is>
      </c>
      <c r="E27" s="11" t="inlineStr">
        <is>
          <t>release revisionとproduction対象resourceを記録済み。必要なtest identityと証跡保存先を準備済み。</t>
        </is>
      </c>
      <c r="F27" s="11" t="inlineStr">
        <is>
          <t>deploy時刻以降のLambda/API/CloudFront 4xx・5xx、throttle、duration、mail failure/suppression、認証失敗metricとlogを確認する。</t>
        </is>
      </c>
      <c r="G27" s="11" t="inlineStr">
        <is>
          <t>説明できない5xx、急増した4xx、throttle、機密情報log、誤配送がない。</t>
        </is>
      </c>
      <c r="H27" s="11" t="inlineStr">
        <is>
          <t>後続の書込み・cutover・cleanupを停止し、release ownerが継続またはrollbackを判断する。</t>
        </is>
      </c>
      <c r="I27" s="11" t="inlineStr">
        <is>
          <t>時刻範囲、metric、request ID、匿名化したlog抜粋を記録する。</t>
        </is>
      </c>
    </row>
    <row r="28" ht="132" customHeight="1">
      <c r="A28" s="12" t="inlineStr">
        <is>
          <t>PROD-OBS-002</t>
        </is>
      </c>
      <c r="B28" s="12" t="inlineStr">
        <is>
          <t>P0</t>
        </is>
      </c>
      <c r="C28" s="12" t="inlineStr">
        <is>
          <t>監視</t>
        </is>
      </c>
      <c r="D28" s="12" t="inlineStr">
        <is>
          <t>安定監視・最終GO判定
目的: cutover直後だけでなく、定めた監視期間で安定していることを確認する。</t>
        </is>
      </c>
      <c r="E28" s="12" t="inlineStr">
        <is>
          <t>release revisionとproduction対象resourceを記録済み。必要なtest identityと証跡保存先を準備済み。</t>
        </is>
      </c>
      <c r="F28" s="12" t="inlineStr">
        <is>
          <t>release ownerが定めた監視期間後にerror rate、latency、主要画面、メール、未cleanup test data、P0/P1結果を再確認する。</t>
        </is>
      </c>
      <c r="G28" s="12" t="inlineStr">
        <is>
          <t>全P0がPASS、未承認P1 FAILがなく、重大alertとtest data残存がない状態でGOが記録される。</t>
        </is>
      </c>
      <c r="H28" s="12" t="inlineStr">
        <is>
          <t>後続の書込み・cutover・cleanupを停止し、release ownerが継続またはrollbackを判断する。</t>
        </is>
      </c>
      <c r="I28" s="12" t="inlineStr">
        <is>
          <t>未解決ケース、metric、影響、owner判断、次回判定時刻を記録する。</t>
        </is>
      </c>
    </row>
    <row r="29" ht="132" customHeight="1">
      <c r="A29" s="11" t="inlineStr">
        <is>
          <t>PROD-ROLLBACK-001</t>
        </is>
      </c>
      <c r="B29" s="11" t="inlineStr">
        <is>
          <t>P0</t>
        </is>
      </c>
      <c r="C29" s="11" t="inlineStr">
        <is>
          <t>rollback</t>
        </is>
      </c>
      <c r="D29" s="11" t="inlineStr">
        <is>
          <t>切戻し可能性・判断記録
目的: rollbackが必要になった場合に、production dataを壊さず実行できることを確認する。</t>
        </is>
      </c>
      <c r="E29" s="11" t="inlineStr">
        <is>
          <t>release revisionとproduction対象resourceを記録済み。必要なtest identityと証跡保存先を準備済み。</t>
        </is>
      </c>
      <c r="F29" s="11" t="inlineStr">
        <is>
          <t>rollback trigger、DNS/CloudFront/API/frontendの切戻し順、migration後writeの扱い、担当者、確認コマンドを読み合わせる。rollbackが不要なら実行しない。</t>
        </is>
      </c>
      <c r="G29" s="11" t="inlineStr">
        <is>
          <t>手順と権限が揃い、rollbackを実行した／しない理由と判断者が記録される。</t>
        </is>
      </c>
      <c r="H29" s="11" t="inlineStr">
        <is>
          <t>後続の書込み・cutover・cleanupを停止し、release ownerが継続またはrollbackを判断する。</t>
        </is>
      </c>
      <c r="I29" s="11" t="inlineStr">
        <is>
          <t>不足手順、権限、復旧不能なwrite、判断保留理由を記録し、legacy cleanupを開始しない。</t>
        </is>
      </c>
    </row>
  </sheetData>
  <autoFilter ref="A4:I29"/>
  <mergeCells count="2">
    <mergeCell ref="A1:I1"/>
    <mergeCell ref="A2:I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2026-09-26T07:40:21Z</dcterms:created>
  <dcterms:modified xsi:type="dcterms:W3CDTF">2026-09-26T07:40:21Z</dcterms:modified>
</cp:coreProperties>
</file>